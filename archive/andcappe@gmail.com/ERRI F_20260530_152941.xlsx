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5"/>
    <sheet name="Foglio 2" sheetId="2" r:id="rId6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<sst xmlns="http://schemas.openxmlformats.org/spreadsheetml/2006/main" uniqueCount="247">
  <si>
    <t>Tabella 1</t>
  </si>
  <si>
    <t>TICKER</t>
  </si>
  <si>
    <t>DESCRIZIONE</t>
  </si>
  <si>
    <t>VALUTA</t>
  </si>
  <si>
    <t>Peso %</t>
  </si>
  <si>
    <t>ISAC.L</t>
  </si>
  <si>
    <t>Az. ACWI</t>
  </si>
  <si>
    <t>USD</t>
  </si>
  <si>
    <t>SWDA.MI</t>
  </si>
  <si>
    <t>Az. World</t>
  </si>
  <si>
    <t>EUR</t>
  </si>
  <si>
    <t>DBMFE.PA</t>
  </si>
  <si>
    <t>Alt. MF</t>
  </si>
  <si>
    <t>UIQ4.DE</t>
  </si>
  <si>
    <t>Alt. Eu.Def</t>
  </si>
  <si>
    <t>JEGA.MI</t>
  </si>
  <si>
    <t>Alt. Pr.Inc.Ac</t>
  </si>
  <si>
    <t>INFL.PA</t>
  </si>
  <si>
    <t>Alt. Inf.Br.</t>
  </si>
  <si>
    <t>IWVU.L</t>
  </si>
  <si>
    <t>Az. World Value Factor</t>
  </si>
  <si>
    <t>QDVE.DE</t>
  </si>
  <si>
    <t>AZ. USA Info Tech SP500</t>
  </si>
  <si>
    <t>CNDX.L</t>
  </si>
  <si>
    <t>Az.USA Nasdaq100</t>
  </si>
  <si>
    <t>CSSPX.MI</t>
  </si>
  <si>
    <t>Az. USA SP500</t>
  </si>
  <si>
    <t>IUSG</t>
  </si>
  <si>
    <t>Az. USA Growth SP500</t>
  </si>
  <si>
    <t>VUG</t>
  </si>
  <si>
    <t>Az. USA Growth</t>
  </si>
  <si>
    <t>IVE</t>
  </si>
  <si>
    <t>Az. USA Value SP500</t>
  </si>
  <si>
    <t>ZPRV.DE</t>
  </si>
  <si>
    <t>Az USA Value Small Cap</t>
  </si>
  <si>
    <t>R2US.MI</t>
  </si>
  <si>
    <t>Az USA Small Cap Russell2000</t>
  </si>
  <si>
    <t>ZPRX.DE</t>
  </si>
  <si>
    <t>Az EUROPA Value Small Cap</t>
  </si>
  <si>
    <t>XSX6.MI</t>
  </si>
  <si>
    <t>Az. Europe Stoxx 600</t>
  </si>
  <si>
    <t>EIMI.MI</t>
  </si>
  <si>
    <t>Az. Emerging Market</t>
  </si>
  <si>
    <t>NVDA</t>
  </si>
  <si>
    <t>NVIDIA Corporation</t>
  </si>
  <si>
    <t>AAPL</t>
  </si>
  <si>
    <t>Apple Inc.</t>
  </si>
  <si>
    <t>GOOGL</t>
  </si>
  <si>
    <t>ALPHABET INC-CL A</t>
  </si>
  <si>
    <t>MSFT</t>
  </si>
  <si>
    <t>Microsoft Corporation</t>
  </si>
  <si>
    <t>AMZN</t>
  </si>
  <si>
    <r>
      <rPr>
        <u val="single"/>
        <sz val="11"/>
        <color indexed="8"/>
        <rFont val="Helvetica"/>
      </rPr>
      <t>Amazon.com</t>
    </r>
    <r>
      <rPr>
        <sz val="11"/>
        <color indexed="8"/>
        <rFont val="Helvetica"/>
      </rPr>
      <t>, Inc.</t>
    </r>
  </si>
  <si>
    <t>ASML.AS</t>
  </si>
  <si>
    <t>ASML HOLDING</t>
  </si>
  <si>
    <t>AVGO</t>
  </si>
  <si>
    <t>Broadcom Inc.</t>
  </si>
  <si>
    <t>ABBN.SW</t>
  </si>
  <si>
    <t>ABB LTD N</t>
  </si>
  <si>
    <t>PH</t>
  </si>
  <si>
    <t>Parker-Hannifin Corporation</t>
  </si>
  <si>
    <t>GS</t>
  </si>
  <si>
    <t>Goldman Sachs Group, Inc. (The)</t>
  </si>
  <si>
    <t>CAT</t>
  </si>
  <si>
    <t>Caterpillar, Inc.</t>
  </si>
  <si>
    <t>LLY</t>
  </si>
  <si>
    <t>Eli Lilly and Company</t>
  </si>
  <si>
    <t>C</t>
  </si>
  <si>
    <t>Citigroup, Inc.</t>
  </si>
  <si>
    <t>UCG.MI</t>
  </si>
  <si>
    <t>UNICREDIT</t>
  </si>
  <si>
    <t>RTX</t>
  </si>
  <si>
    <t>RTX Corporation</t>
  </si>
  <si>
    <t>XOM</t>
  </si>
  <si>
    <t>Exxon Mobil Corporation</t>
  </si>
  <si>
    <t>MS</t>
  </si>
  <si>
    <t>Morgan Stanley</t>
  </si>
  <si>
    <t>BARC.L</t>
  </si>
  <si>
    <t>BARCLAYS PLC ORD 25P</t>
  </si>
  <si>
    <t>SMFG</t>
  </si>
  <si>
    <t>Sumitomo Mitsui Financial Group</t>
  </si>
  <si>
    <t>JPM</t>
  </si>
  <si>
    <t>JP Morgan Chase &amp; Co.</t>
  </si>
  <si>
    <t>CVX</t>
  </si>
  <si>
    <t>Chevron Corporation</t>
  </si>
  <si>
    <t>WMT</t>
  </si>
  <si>
    <t>Walmart Inc.</t>
  </si>
  <si>
    <t>MRK</t>
  </si>
  <si>
    <t>Merck &amp; Company, Inc.</t>
  </si>
  <si>
    <t>AZN.L</t>
  </si>
  <si>
    <t>ASTRAZENECA PLC ORD SHS $0.25</t>
  </si>
  <si>
    <t>SIE.DE</t>
  </si>
  <si>
    <t>SIEMENS AG                    N</t>
  </si>
  <si>
    <t>CARR</t>
  </si>
  <si>
    <t>Carrier Global Corporation</t>
  </si>
  <si>
    <t>META</t>
  </si>
  <si>
    <t>Meta Platforms, Inc.</t>
  </si>
  <si>
    <t>GE</t>
  </si>
  <si>
    <t>GE Aerospace</t>
  </si>
  <si>
    <t>AXP</t>
  </si>
  <si>
    <t>American Express Company</t>
  </si>
  <si>
    <t>TTE.PA</t>
  </si>
  <si>
    <t>TOTALENERGIES</t>
  </si>
  <si>
    <t>TSMN.MX</t>
  </si>
  <si>
    <t>TAIWAN SEMICONDUCTOR MANUFACTUR</t>
  </si>
  <si>
    <t>SCHW</t>
  </si>
  <si>
    <t>Charles Schwab Corporation (The</t>
  </si>
  <si>
    <t>FCX</t>
  </si>
  <si>
    <t>Freeport-McMoRan, Inc.</t>
  </si>
  <si>
    <t>MFZA.F</t>
  </si>
  <si>
    <t>Mitsubishi UFJ Finl Grp Inc.  R</t>
  </si>
  <si>
    <t>MA</t>
  </si>
  <si>
    <t>Mastercard Incorporated</t>
  </si>
  <si>
    <t>HD</t>
  </si>
  <si>
    <t>Home Depot, Inc. (The)</t>
  </si>
  <si>
    <t>COST</t>
  </si>
  <si>
    <t>Costco Wholesale Corporation</t>
  </si>
  <si>
    <t>SAP.DE</t>
  </si>
  <si>
    <t>SAP SE                        I</t>
  </si>
  <si>
    <t>NESN.SW</t>
  </si>
  <si>
    <t>NESTLE N</t>
  </si>
  <si>
    <t>BHP</t>
  </si>
  <si>
    <t>BHP Group Limited</t>
  </si>
  <si>
    <t>SHEL.L</t>
  </si>
  <si>
    <t>SHELL PLC ORD EUR0.07</t>
  </si>
  <si>
    <t>BAC</t>
  </si>
  <si>
    <t>Bank of America Corporation</t>
  </si>
  <si>
    <t>BLK</t>
  </si>
  <si>
    <t>BlackRock, Inc.</t>
  </si>
  <si>
    <t>MC.PA</t>
  </si>
  <si>
    <t>LVMH</t>
  </si>
  <si>
    <t>TMO</t>
  </si>
  <si>
    <t>Thermo Fisher Scientific Inc</t>
  </si>
  <si>
    <t>DTG.DE</t>
  </si>
  <si>
    <t>Daimler Truck Holding AG      N</t>
  </si>
  <si>
    <t>ISRG</t>
  </si>
  <si>
    <t>Intuitive Surgical, Inc.</t>
  </si>
  <si>
    <t>UBSG.SW</t>
  </si>
  <si>
    <t>UBS GROUP N</t>
  </si>
  <si>
    <t>OR.PA</t>
  </si>
  <si>
    <t>L'OREAL</t>
  </si>
  <si>
    <t>SONYN.MX</t>
  </si>
  <si>
    <t>SONY GROUP CORPORATION</t>
  </si>
  <si>
    <t>NSC</t>
  </si>
  <si>
    <t>Norfolk Southern Corporation</t>
  </si>
  <si>
    <t>ABI.BR</t>
  </si>
  <si>
    <t>AB INBEV</t>
  </si>
  <si>
    <t>ISP.MI</t>
  </si>
  <si>
    <t>INTESA SANPAOLO</t>
  </si>
  <si>
    <t>SAN.PA</t>
  </si>
  <si>
    <t>SANOFI</t>
  </si>
  <si>
    <t>INGA.AS</t>
  </si>
  <si>
    <t>ING GROEP N.V.</t>
  </si>
  <si>
    <t>AIR.PA</t>
  </si>
  <si>
    <t>AIRBUS SE</t>
  </si>
  <si>
    <t>CABK.MC</t>
  </si>
  <si>
    <t>CAIXABANK, S.A.</t>
  </si>
  <si>
    <t>GSKN.MX</t>
  </si>
  <si>
    <t>GSK PLC</t>
  </si>
  <si>
    <t>AMGN</t>
  </si>
  <si>
    <t>Amgen Inc.</t>
  </si>
  <si>
    <t>UNH</t>
  </si>
  <si>
    <t>UnitedHealth Group Incorporated</t>
  </si>
  <si>
    <t>SAF.PA</t>
  </si>
  <si>
    <t>SAFRAN</t>
  </si>
  <si>
    <t>HSBA.L</t>
  </si>
  <si>
    <t>HSBC HOLDINGS PLC ORD $0.50 (UK</t>
  </si>
  <si>
    <t>V</t>
  </si>
  <si>
    <t>Visa Inc.</t>
  </si>
  <si>
    <t>AMT</t>
  </si>
  <si>
    <t>American Tower Corporation (REI</t>
  </si>
  <si>
    <t>CM.TO</t>
  </si>
  <si>
    <t>CANADIAN IMPERIAL BANK OF COMME</t>
  </si>
  <si>
    <t>DBK.DE</t>
  </si>
  <si>
    <t>DEUTSCHE BANK AG              N</t>
  </si>
  <si>
    <t>RIO</t>
  </si>
  <si>
    <t>Rio Tinto Plc</t>
  </si>
  <si>
    <t>DG.PA</t>
  </si>
  <si>
    <t>VINCI</t>
  </si>
  <si>
    <t>BNP.PA</t>
  </si>
  <si>
    <t>BNP PARIBAS ACT.A</t>
  </si>
  <si>
    <t>ORCL</t>
  </si>
  <si>
    <t>Oracle Corporation</t>
  </si>
  <si>
    <t>CP.TO</t>
  </si>
  <si>
    <t>CANADIAN PACIFIC KANSAS CITY LI</t>
  </si>
  <si>
    <t>JNJ</t>
  </si>
  <si>
    <t>Johnson &amp; Johnson</t>
  </si>
  <si>
    <t>DTE.DE</t>
  </si>
  <si>
    <t>DEUTSCHE TELEKOM AG           N</t>
  </si>
  <si>
    <t>PEP</t>
  </si>
  <si>
    <t>Pepsico, Inc.</t>
  </si>
  <si>
    <t>PG</t>
  </si>
  <si>
    <t>Procter &amp; Gamble Company (The)</t>
  </si>
  <si>
    <t>SPOT</t>
  </si>
  <si>
    <t>Spotify Technology S.A.</t>
  </si>
  <si>
    <t>NWG.L</t>
  </si>
  <si>
    <t>NATWEST GROUP PLC ORD 107.69P</t>
  </si>
  <si>
    <t>ACA.PA</t>
  </si>
  <si>
    <t>CREDIT AGRICOLE</t>
  </si>
  <si>
    <t>MONC.MI</t>
  </si>
  <si>
    <t>MONCLER</t>
  </si>
  <si>
    <t>PFE</t>
  </si>
  <si>
    <t>Pfizer, Inc.</t>
  </si>
  <si>
    <t>CRM</t>
  </si>
  <si>
    <t>Salesforce, Inc.</t>
  </si>
  <si>
    <t>NFLX</t>
  </si>
  <si>
    <t>Netflix, Inc.</t>
  </si>
  <si>
    <t>SBUX</t>
  </si>
  <si>
    <t>Starbucks Corporation</t>
  </si>
  <si>
    <t>NOW</t>
  </si>
  <si>
    <t>ServiceNow, Inc.</t>
  </si>
  <si>
    <t>INTU</t>
  </si>
  <si>
    <t>Intuit Inc.</t>
  </si>
  <si>
    <t>DHR</t>
  </si>
  <si>
    <t>Danaher Corporation</t>
  </si>
  <si>
    <t>BMPS.MI</t>
  </si>
  <si>
    <t>MONTE DEI PASCHI</t>
  </si>
  <si>
    <t>AMD</t>
  </si>
  <si>
    <t>ADVANCED MICRO</t>
  </si>
  <si>
    <t>TSM</t>
  </si>
  <si>
    <t>TAIWAN SEM</t>
  </si>
  <si>
    <t>PLTR</t>
  </si>
  <si>
    <t>PALANTIR</t>
  </si>
  <si>
    <t>SGLD.L</t>
  </si>
  <si>
    <t>GOLD</t>
  </si>
  <si>
    <t>0P0001HFGK</t>
  </si>
  <si>
    <t>FI Instl Global Eq Sel USDollar (0P0001HFGK)</t>
  </si>
  <si>
    <t>Advanced micro d</t>
  </si>
  <si>
    <t>US0079031078</t>
  </si>
  <si>
    <t>Bca mps</t>
  </si>
  <si>
    <t>IT0005508921</t>
  </si>
  <si>
    <t>Nvidia</t>
  </si>
  <si>
    <t>US67066G1040</t>
  </si>
  <si>
    <t>Strategy</t>
  </si>
  <si>
    <t>US5949724083</t>
  </si>
  <si>
    <t>Taiwan semi adr</t>
  </si>
  <si>
    <t>US8740391003</t>
  </si>
  <si>
    <t>Unicredit</t>
  </si>
  <si>
    <t>IT0005239360</t>
  </si>
  <si>
    <t>Invesco Physical Gold ETC EUR</t>
  </si>
  <si>
    <t>IE00B579F325</t>
  </si>
  <si>
    <t>Vanguard FTSE All-World UCITS ETF (USD) Acc EUR</t>
  </si>
  <si>
    <t>IE00BK5BQT80</t>
  </si>
  <si>
    <t>Xtrackers MSCI USA Inf Tech. UCITS ETF 1D EUR</t>
  </si>
  <si>
    <t>IE00BGQYRS42</t>
  </si>
  <si>
    <t>iShares Nasdaq 100 UCITS ETF EUR (Acc)</t>
  </si>
  <si>
    <t>IE00B53SZB19</t>
  </si>
</sst>
</file>

<file path=xl/styles.xml><?xml version="1.0" encoding="utf-8"?>
<styleSheet xmlns="http://schemas.openxmlformats.org/spreadsheetml/2006/main">
  <numFmts count="8">
    <numFmt numFmtId="0" formatCode="General"/>
    <numFmt numFmtId="59" formatCode="[$€-2] 0.0000"/>
    <numFmt numFmtId="60" formatCode="[$€-2] 0.00"/>
    <numFmt numFmtId="61" formatCode="[$€-2] #,##0.0#"/>
    <numFmt numFmtId="62" formatCode="0.0#%"/>
    <numFmt numFmtId="63" formatCode="#,##0.0000"/>
    <numFmt numFmtId="64" formatCode="[$€-2] #,##0.00"/>
    <numFmt numFmtId="65" formatCode="[$€-2] 0.0#"/>
  </numFmts>
  <fonts count="8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9"/>
      <name val="Helvetica"/>
    </font>
    <font>
      <b val="1"/>
      <sz val="10"/>
      <color indexed="9"/>
      <name val="Helvetica Neue"/>
    </font>
    <font>
      <b val="1"/>
      <sz val="10"/>
      <color indexed="8"/>
      <name val="Helvetica Neue"/>
    </font>
    <font>
      <sz val="11"/>
      <color indexed="8"/>
      <name val="Helvetica"/>
    </font>
    <font>
      <u val="single"/>
      <sz val="11"/>
      <color indexed="8"/>
      <name val="Helvetica"/>
    </font>
    <font>
      <sz val="14"/>
      <color indexed="14"/>
      <name val="Arial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center" vertical="center" wrapText="1"/>
    </xf>
    <xf numFmtId="0" fontId="3" fillId="3" borderId="1" applyNumberFormat="0" applyFont="1" applyFill="1" applyBorder="1" applyAlignment="1" applyProtection="0">
      <alignment vertical="top" wrapText="1"/>
    </xf>
    <xf numFmtId="0" fontId="4" fillId="3" borderId="1" applyNumberFormat="0" applyFont="1" applyFill="1" applyBorder="1" applyAlignment="1" applyProtection="0">
      <alignment vertical="top" wrapText="1"/>
    </xf>
    <xf numFmtId="49" fontId="5" fillId="2" borderId="2" applyNumberFormat="1" applyFont="1" applyFill="1" applyBorder="1" applyAlignment="1" applyProtection="0">
      <alignment horizontal="left" vertical="center" wrapText="1"/>
    </xf>
    <xf numFmtId="49" fontId="5" fillId="2" borderId="3" applyNumberFormat="1" applyFont="1" applyFill="1" applyBorder="1" applyAlignment="1" applyProtection="0">
      <alignment horizontal="left" vertical="center" wrapText="1"/>
    </xf>
    <xf numFmtId="49" fontId="5" fillId="2" borderId="4" applyNumberFormat="1" applyFont="1" applyFill="1" applyBorder="1" applyAlignment="1" applyProtection="0">
      <alignment horizontal="left" vertical="center" wrapText="1"/>
    </xf>
    <xf numFmtId="0" fontId="0" fillId="2" borderId="4" applyNumberFormat="1" applyFont="1" applyFill="1" applyBorder="1" applyAlignment="1" applyProtection="0">
      <alignment vertical="center" wrapText="1"/>
    </xf>
    <xf numFmtId="0" fontId="0" borderId="4" applyNumberFormat="0" applyFont="1" applyFill="0" applyBorder="1" applyAlignment="1" applyProtection="0">
      <alignment vertical="top" wrapText="1"/>
    </xf>
    <xf numFmtId="49" fontId="5" fillId="2" borderId="5" applyNumberFormat="1" applyFont="1" applyFill="1" applyBorder="1" applyAlignment="1" applyProtection="0">
      <alignment horizontal="left" vertical="center" wrapText="1"/>
    </xf>
    <xf numFmtId="49" fontId="5" fillId="2" borderId="6" applyNumberFormat="1" applyFont="1" applyFill="1" applyBorder="1" applyAlignment="1" applyProtection="0">
      <alignment horizontal="left" vertical="center" wrapText="1"/>
    </xf>
    <xf numFmtId="49" fontId="5" fillId="2" borderId="7" applyNumberFormat="1" applyFont="1" applyFill="1" applyBorder="1" applyAlignment="1" applyProtection="0">
      <alignment horizontal="left" vertical="center" wrapText="1"/>
    </xf>
    <xf numFmtId="0" fontId="0" fillId="2" borderId="7" applyNumberFormat="0" applyFont="1" applyFill="1" applyBorder="1" applyAlignment="1" applyProtection="0">
      <alignment vertical="center" wrapText="1"/>
    </xf>
    <xf numFmtId="0" fontId="0" borderId="7" applyNumberFormat="0" applyFont="1" applyFill="0" applyBorder="1" applyAlignment="1" applyProtection="0">
      <alignment vertical="top" wrapText="1"/>
    </xf>
    <xf numFmtId="0" fontId="0" fillId="2" borderId="7" applyNumberFormat="1" applyFont="1" applyFill="1" applyBorder="1" applyAlignment="1" applyProtection="0">
      <alignment vertical="center" wrapText="1"/>
    </xf>
    <xf numFmtId="0" fontId="5" fillId="2" borderId="7" applyNumberFormat="1" applyFont="1" applyFill="1" applyBorder="1" applyAlignment="1" applyProtection="0">
      <alignment vertical="center" wrapText="1"/>
    </xf>
    <xf numFmtId="0" fontId="0" borderId="7" applyNumberFormat="0" applyFont="1" applyFill="0" applyBorder="1" applyAlignment="1" applyProtection="0">
      <alignment vertical="center" wrapText="1"/>
    </xf>
    <xf numFmtId="0" fontId="0" borderId="7" applyNumberFormat="1" applyFont="1" applyFill="0" applyBorder="1" applyAlignment="1" applyProtection="0">
      <alignment vertical="center" wrapText="1"/>
    </xf>
    <xf numFmtId="0" fontId="0" applyNumberFormat="1" applyFont="1" applyFill="0" applyBorder="0" applyAlignment="1" applyProtection="0">
      <alignment vertical="top" wrapText="1"/>
    </xf>
    <xf numFmtId="49" fontId="7" borderId="2" applyNumberFormat="1" applyFont="1" applyFill="0" applyBorder="1" applyAlignment="1" applyProtection="0">
      <alignment vertical="center" wrapText="1"/>
    </xf>
    <xf numFmtId="0" fontId="0" borderId="3" applyNumberFormat="0" applyFont="1" applyFill="0" applyBorder="1" applyAlignment="1" applyProtection="0">
      <alignment vertical="center" wrapText="1"/>
    </xf>
    <xf numFmtId="49" fontId="7" borderId="4" applyNumberFormat="1" applyFont="1" applyFill="0" applyBorder="1" applyAlignment="1" applyProtection="0">
      <alignment horizontal="center" vertical="center" wrapText="1"/>
    </xf>
    <xf numFmtId="0" fontId="7" borderId="4" applyNumberFormat="1" applyFont="1" applyFill="0" applyBorder="1" applyAlignment="1" applyProtection="0">
      <alignment vertical="center" wrapText="1"/>
    </xf>
    <xf numFmtId="59" fontId="7" borderId="4" applyNumberFormat="1" applyFont="1" applyFill="0" applyBorder="1" applyAlignment="1" applyProtection="0">
      <alignment vertical="center" wrapText="1"/>
    </xf>
    <xf numFmtId="60" fontId="7" borderId="4" applyNumberFormat="1" applyFont="1" applyFill="0" applyBorder="1" applyAlignment="1" applyProtection="0">
      <alignment vertical="center" wrapText="1"/>
    </xf>
    <xf numFmtId="61" fontId="7" borderId="4" applyNumberFormat="1" applyFont="1" applyFill="0" applyBorder="1" applyAlignment="1" applyProtection="0">
      <alignment vertical="center" wrapText="1"/>
    </xf>
    <xf numFmtId="62" fontId="7" borderId="4" applyNumberFormat="1" applyFont="1" applyFill="0" applyBorder="1" applyAlignment="1" applyProtection="0">
      <alignment vertical="center" wrapText="1"/>
    </xf>
    <xf numFmtId="0" fontId="0" borderId="4" applyNumberFormat="0" applyFont="1" applyFill="0" applyBorder="1" applyAlignment="1" applyProtection="0">
      <alignment vertical="center" wrapText="1"/>
    </xf>
    <xf numFmtId="0" fontId="0" borderId="4" applyNumberFormat="1" applyFont="1" applyFill="0" applyBorder="1" applyAlignment="1" applyProtection="0">
      <alignment vertical="top" wrapText="1"/>
    </xf>
    <xf numFmtId="0" fontId="4" borderId="5" applyNumberFormat="0" applyFont="1" applyFill="0" applyBorder="1" applyAlignment="1" applyProtection="0">
      <alignment vertical="center" wrapText="1"/>
    </xf>
    <xf numFmtId="0" fontId="0" borderId="6" applyNumberFormat="0" applyFont="1" applyFill="0" applyBorder="1" applyAlignment="1" applyProtection="0">
      <alignment vertical="center" wrapText="1"/>
    </xf>
    <xf numFmtId="49" fontId="7" borderId="7" applyNumberFormat="1" applyFont="1" applyFill="0" applyBorder="1" applyAlignment="1" applyProtection="0">
      <alignment vertical="center" wrapText="1"/>
    </xf>
    <xf numFmtId="49" fontId="7" borderId="7" applyNumberFormat="1" applyFont="1" applyFill="0" applyBorder="1" applyAlignment="1" applyProtection="0">
      <alignment horizontal="center" vertical="center" wrapText="1"/>
    </xf>
    <xf numFmtId="63" fontId="7" borderId="7" applyNumberFormat="1" applyFont="1" applyFill="0" applyBorder="1" applyAlignment="1" applyProtection="0">
      <alignment vertical="center" wrapText="1"/>
    </xf>
    <xf numFmtId="59" fontId="7" borderId="7" applyNumberFormat="1" applyFont="1" applyFill="0" applyBorder="1" applyAlignment="1" applyProtection="0">
      <alignment vertical="center" wrapText="1"/>
    </xf>
    <xf numFmtId="64" fontId="7" borderId="7" applyNumberFormat="1" applyFont="1" applyFill="0" applyBorder="1" applyAlignment="1" applyProtection="0">
      <alignment vertical="center" wrapText="1"/>
    </xf>
    <xf numFmtId="61" fontId="7" borderId="7" applyNumberFormat="1" applyFont="1" applyFill="0" applyBorder="1" applyAlignment="1" applyProtection="0">
      <alignment vertical="center" wrapText="1"/>
    </xf>
    <xf numFmtId="60" fontId="7" borderId="7" applyNumberFormat="1" applyFont="1" applyFill="0" applyBorder="1" applyAlignment="1" applyProtection="0">
      <alignment vertical="center" wrapText="1"/>
    </xf>
    <xf numFmtId="62" fontId="7" borderId="7" applyNumberFormat="1" applyFont="1" applyFill="0" applyBorder="1" applyAlignment="1" applyProtection="0">
      <alignment vertical="center" wrapText="1"/>
    </xf>
    <xf numFmtId="0" fontId="0" borderId="7" applyNumberFormat="1" applyFont="1" applyFill="0" applyBorder="1" applyAlignment="1" applyProtection="0">
      <alignment vertical="top" wrapText="1"/>
    </xf>
    <xf numFmtId="0" fontId="7" borderId="7" applyNumberFormat="1" applyFont="1" applyFill="0" applyBorder="1" applyAlignment="1" applyProtection="0">
      <alignment vertical="center" wrapText="1"/>
    </xf>
    <xf numFmtId="10" fontId="7" borderId="7" applyNumberFormat="1" applyFont="1" applyFill="0" applyBorder="1" applyAlignment="1" applyProtection="0">
      <alignment vertical="center" wrapText="1"/>
    </xf>
    <xf numFmtId="65" fontId="7" borderId="7" applyNumberFormat="1" applyFont="1" applyFill="0" applyBorder="1" applyAlignment="1" applyProtection="0">
      <alignment vertical="center" wrapText="1"/>
    </xf>
    <xf numFmtId="0" fontId="4" fillId="4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61" fontId="0" borderId="7" applyNumberFormat="1" applyFont="1" applyFill="0" applyBorder="1" applyAlignment="1" applyProtection="0">
      <alignment vertical="top" wrapText="1"/>
    </xf>
    <xf numFmtId="49" fontId="7" borderId="5" applyNumberFormat="1" applyFont="1" applyFill="0" applyBorder="1" applyAlignment="1" applyProtection="0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6b39"/>
      <rgbColor rgb="ffffffff"/>
      <rgbColor rgb="ffa5a5a5"/>
      <rgbColor rgb="ff3f3f3f"/>
      <rgbColor rgb="ffbdc0bf"/>
      <rgbColor rgb="ff444444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Amazon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G112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s="4"/>
      <c r="F2" s="5"/>
      <c r="G2" s="5"/>
    </row>
    <row r="3" ht="20.25" customHeight="1">
      <c r="A3" t="s" s="6">
        <v>5</v>
      </c>
      <c r="B3" t="s" s="7">
        <v>6</v>
      </c>
      <c r="C3" t="s" s="8">
        <v>7</v>
      </c>
      <c r="D3" s="9">
        <v>20</v>
      </c>
      <c r="E3" s="10"/>
      <c r="F3" s="10"/>
      <c r="G3" s="10"/>
    </row>
    <row r="4" ht="20.05" customHeight="1">
      <c r="A4" t="s" s="11">
        <v>8</v>
      </c>
      <c r="B4" t="s" s="12">
        <v>9</v>
      </c>
      <c r="C4" t="s" s="13">
        <v>10</v>
      </c>
      <c r="D4" s="14"/>
      <c r="E4" s="15"/>
      <c r="F4" s="15"/>
      <c r="G4" s="15"/>
    </row>
    <row r="5" ht="20.05" customHeight="1">
      <c r="A5" t="s" s="11">
        <v>11</v>
      </c>
      <c r="B5" t="s" s="12">
        <v>12</v>
      </c>
      <c r="C5" t="s" s="13">
        <v>10</v>
      </c>
      <c r="D5" s="14"/>
      <c r="E5" s="15"/>
      <c r="F5" s="15"/>
      <c r="G5" s="15"/>
    </row>
    <row r="6" ht="20.05" customHeight="1">
      <c r="A6" t="s" s="11">
        <v>13</v>
      </c>
      <c r="B6" t="s" s="12">
        <v>14</v>
      </c>
      <c r="C6" t="s" s="13">
        <v>10</v>
      </c>
      <c r="D6" s="14"/>
      <c r="E6" s="15"/>
      <c r="F6" s="15"/>
      <c r="G6" s="15"/>
    </row>
    <row r="7" ht="20.05" customHeight="1">
      <c r="A7" t="s" s="11">
        <v>15</v>
      </c>
      <c r="B7" t="s" s="12">
        <v>16</v>
      </c>
      <c r="C7" t="s" s="13">
        <v>10</v>
      </c>
      <c r="D7" s="14"/>
      <c r="E7" s="15"/>
      <c r="F7" s="15"/>
      <c r="G7" s="15"/>
    </row>
    <row r="8" ht="20.05" customHeight="1">
      <c r="A8" t="s" s="11">
        <v>17</v>
      </c>
      <c r="B8" t="s" s="12">
        <v>18</v>
      </c>
      <c r="C8" t="s" s="13">
        <v>10</v>
      </c>
      <c r="D8" s="14"/>
      <c r="E8" s="15"/>
      <c r="F8" s="15"/>
      <c r="G8" s="15"/>
    </row>
    <row r="9" ht="26.35" customHeight="1">
      <c r="A9" t="s" s="11">
        <v>19</v>
      </c>
      <c r="B9" t="s" s="12">
        <v>20</v>
      </c>
      <c r="C9" t="s" s="13">
        <v>7</v>
      </c>
      <c r="D9" s="14"/>
      <c r="E9" s="15"/>
      <c r="F9" s="15"/>
      <c r="G9" s="15"/>
    </row>
    <row r="10" ht="26.35" customHeight="1">
      <c r="A10" t="s" s="11">
        <v>21</v>
      </c>
      <c r="B10" t="s" s="12">
        <v>22</v>
      </c>
      <c r="C10" t="s" s="13">
        <v>10</v>
      </c>
      <c r="D10" s="16">
        <v>29</v>
      </c>
      <c r="E10" s="15"/>
      <c r="F10" s="15"/>
      <c r="G10" s="15"/>
    </row>
    <row r="11" ht="26.35" customHeight="1">
      <c r="A11" t="s" s="11">
        <v>23</v>
      </c>
      <c r="B11" t="s" s="12">
        <v>24</v>
      </c>
      <c r="C11" t="s" s="13">
        <v>7</v>
      </c>
      <c r="D11" s="16">
        <v>21</v>
      </c>
      <c r="E11" s="15"/>
      <c r="F11" s="15"/>
      <c r="G11" s="15"/>
    </row>
    <row r="12" ht="20.05" customHeight="1">
      <c r="A12" t="s" s="11">
        <v>25</v>
      </c>
      <c r="B12" t="s" s="12">
        <v>26</v>
      </c>
      <c r="C12" t="s" s="13">
        <v>10</v>
      </c>
      <c r="D12" s="14"/>
      <c r="E12" s="15"/>
      <c r="F12" s="15"/>
      <c r="G12" s="15"/>
    </row>
    <row r="13" ht="26.35" customHeight="1">
      <c r="A13" t="s" s="11">
        <v>27</v>
      </c>
      <c r="B13" t="s" s="12">
        <v>28</v>
      </c>
      <c r="C13" t="s" s="13">
        <v>7</v>
      </c>
      <c r="D13" s="14"/>
      <c r="E13" s="15"/>
      <c r="F13" s="15"/>
      <c r="G13" s="15"/>
    </row>
    <row r="14" ht="20.05" customHeight="1">
      <c r="A14" t="s" s="11">
        <v>29</v>
      </c>
      <c r="B14" t="s" s="12">
        <v>30</v>
      </c>
      <c r="C14" t="s" s="13">
        <v>7</v>
      </c>
      <c r="D14" s="14"/>
      <c r="E14" s="15"/>
      <c r="F14" s="15"/>
      <c r="G14" s="15"/>
    </row>
    <row r="15" ht="26.35" customHeight="1">
      <c r="A15" t="s" s="11">
        <v>31</v>
      </c>
      <c r="B15" t="s" s="12">
        <v>32</v>
      </c>
      <c r="C15" t="s" s="13">
        <v>7</v>
      </c>
      <c r="D15" s="14"/>
      <c r="E15" s="15"/>
      <c r="F15" s="15"/>
      <c r="G15" s="15"/>
    </row>
    <row r="16" ht="26.35" customHeight="1">
      <c r="A16" t="s" s="11">
        <v>33</v>
      </c>
      <c r="B16" t="s" s="12">
        <v>34</v>
      </c>
      <c r="C16" t="s" s="13">
        <v>10</v>
      </c>
      <c r="D16" s="14"/>
      <c r="E16" s="15"/>
      <c r="F16" s="15"/>
      <c r="G16" s="15"/>
    </row>
    <row r="17" ht="26.35" customHeight="1">
      <c r="A17" t="s" s="11">
        <v>35</v>
      </c>
      <c r="B17" t="s" s="12">
        <v>36</v>
      </c>
      <c r="C17" t="s" s="13">
        <v>10</v>
      </c>
      <c r="D17" s="14"/>
      <c r="E17" s="15"/>
      <c r="F17" s="15"/>
      <c r="G17" s="15"/>
    </row>
    <row r="18" ht="26.35" customHeight="1">
      <c r="A18" t="s" s="11">
        <v>37</v>
      </c>
      <c r="B18" t="s" s="12">
        <v>38</v>
      </c>
      <c r="C18" t="s" s="13">
        <v>10</v>
      </c>
      <c r="D18" s="14"/>
      <c r="E18" s="15"/>
      <c r="F18" s="15"/>
      <c r="G18" s="15"/>
    </row>
    <row r="19" ht="26.35" customHeight="1">
      <c r="A19" t="s" s="11">
        <v>39</v>
      </c>
      <c r="B19" t="s" s="12">
        <v>40</v>
      </c>
      <c r="C19" t="s" s="13">
        <v>10</v>
      </c>
      <c r="D19" s="14"/>
      <c r="E19" s="15"/>
      <c r="F19" s="15"/>
      <c r="G19" s="15"/>
    </row>
    <row r="20" ht="26.35" customHeight="1">
      <c r="A20" t="s" s="11">
        <v>41</v>
      </c>
      <c r="B20" t="s" s="12">
        <v>42</v>
      </c>
      <c r="C20" t="s" s="13">
        <v>10</v>
      </c>
      <c r="D20" s="14"/>
      <c r="E20" s="15"/>
      <c r="F20" s="15"/>
      <c r="G20" s="15"/>
    </row>
    <row r="21" ht="26.35" customHeight="1">
      <c r="A21" t="s" s="11">
        <v>43</v>
      </c>
      <c r="B21" t="s" s="12">
        <v>44</v>
      </c>
      <c r="C21" t="s" s="13">
        <v>10</v>
      </c>
      <c r="D21" s="17">
        <v>5.53</v>
      </c>
      <c r="E21" s="15"/>
      <c r="F21" s="15"/>
      <c r="G21" s="15"/>
    </row>
    <row r="22" ht="20.05" customHeight="1">
      <c r="A22" t="s" s="11">
        <v>45</v>
      </c>
      <c r="B22" t="s" s="12">
        <v>46</v>
      </c>
      <c r="C22" t="s" s="13">
        <v>10</v>
      </c>
      <c r="D22" s="17">
        <v>4.87</v>
      </c>
      <c r="E22" s="15"/>
      <c r="F22" s="15"/>
      <c r="G22" s="15"/>
    </row>
    <row r="23" ht="26.35" customHeight="1">
      <c r="A23" t="s" s="11">
        <v>47</v>
      </c>
      <c r="B23" t="s" s="12">
        <v>48</v>
      </c>
      <c r="C23" t="s" s="13">
        <v>10</v>
      </c>
      <c r="D23" s="17">
        <v>3.99</v>
      </c>
      <c r="E23" s="15"/>
      <c r="F23" s="15"/>
      <c r="G23" s="15"/>
    </row>
    <row r="24" ht="26.35" customHeight="1">
      <c r="A24" t="s" s="11">
        <v>49</v>
      </c>
      <c r="B24" t="s" s="12">
        <v>50</v>
      </c>
      <c r="C24" t="s" s="13">
        <v>10</v>
      </c>
      <c r="D24" s="17">
        <v>3.49</v>
      </c>
      <c r="E24" s="15"/>
      <c r="F24" s="15"/>
      <c r="G24" s="15"/>
    </row>
    <row r="25" ht="26.35" customHeight="1">
      <c r="A25" t="s" s="11">
        <v>51</v>
      </c>
      <c r="B25" t="s" s="12">
        <v>52</v>
      </c>
      <c r="C25" t="s" s="13">
        <v>10</v>
      </c>
      <c r="D25" s="17">
        <v>2.96</v>
      </c>
      <c r="E25" s="15"/>
      <c r="F25" s="15"/>
      <c r="G25" s="15"/>
    </row>
    <row r="26" ht="20.05" customHeight="1">
      <c r="A26" t="s" s="11">
        <v>53</v>
      </c>
      <c r="B26" t="s" s="12">
        <v>54</v>
      </c>
      <c r="C26" t="s" s="13">
        <v>10</v>
      </c>
      <c r="D26" s="17">
        <v>2.8</v>
      </c>
      <c r="E26" s="15"/>
      <c r="F26" s="15"/>
      <c r="G26" s="15"/>
    </row>
    <row r="27" ht="20.05" customHeight="1">
      <c r="A27" t="s" s="11">
        <v>55</v>
      </c>
      <c r="B27" t="s" s="12">
        <v>56</v>
      </c>
      <c r="C27" t="s" s="13">
        <v>10</v>
      </c>
      <c r="D27" s="17">
        <v>2.6</v>
      </c>
      <c r="E27" s="15"/>
      <c r="F27" s="15"/>
      <c r="G27" s="15"/>
    </row>
    <row r="28" ht="20.05" customHeight="1">
      <c r="A28" t="s" s="11">
        <v>57</v>
      </c>
      <c r="B28" t="s" s="12">
        <v>58</v>
      </c>
      <c r="C28" t="s" s="13">
        <v>10</v>
      </c>
      <c r="D28" s="17">
        <v>2.17</v>
      </c>
      <c r="E28" s="15"/>
      <c r="F28" s="15"/>
      <c r="G28" s="15"/>
    </row>
    <row r="29" ht="26.35" customHeight="1">
      <c r="A29" t="s" s="11">
        <v>59</v>
      </c>
      <c r="B29" t="s" s="12">
        <v>60</v>
      </c>
      <c r="C29" t="s" s="13">
        <v>10</v>
      </c>
      <c r="D29" s="17">
        <v>2.12</v>
      </c>
      <c r="E29" s="15"/>
      <c r="F29" s="15"/>
      <c r="G29" s="15"/>
    </row>
    <row r="30" ht="26.35" customHeight="1">
      <c r="A30" t="s" s="11">
        <v>61</v>
      </c>
      <c r="B30" t="s" s="12">
        <v>62</v>
      </c>
      <c r="C30" t="s" s="13">
        <v>10</v>
      </c>
      <c r="D30" s="17">
        <v>2.03</v>
      </c>
      <c r="E30" s="15"/>
      <c r="F30" s="15"/>
      <c r="G30" s="15"/>
    </row>
    <row r="31" ht="20.05" customHeight="1">
      <c r="A31" t="s" s="11">
        <v>63</v>
      </c>
      <c r="B31" t="s" s="12">
        <v>64</v>
      </c>
      <c r="C31" t="s" s="13">
        <v>10</v>
      </c>
      <c r="D31" s="17">
        <v>2.02</v>
      </c>
      <c r="E31" s="15"/>
      <c r="F31" s="15"/>
      <c r="G31" s="15"/>
    </row>
    <row r="32" ht="26.35" customHeight="1">
      <c r="A32" t="s" s="11">
        <v>65</v>
      </c>
      <c r="B32" t="s" s="12">
        <v>66</v>
      </c>
      <c r="C32" t="s" s="13">
        <v>10</v>
      </c>
      <c r="D32" s="17">
        <v>1.81</v>
      </c>
      <c r="E32" s="15"/>
      <c r="F32" s="15"/>
      <c r="G32" s="15"/>
    </row>
    <row r="33" ht="20.05" customHeight="1">
      <c r="A33" t="s" s="11">
        <v>67</v>
      </c>
      <c r="B33" t="s" s="12">
        <v>68</v>
      </c>
      <c r="C33" t="s" s="13">
        <v>10</v>
      </c>
      <c r="D33" s="17">
        <v>1.73</v>
      </c>
      <c r="E33" s="15"/>
      <c r="F33" s="15"/>
      <c r="G33" s="15"/>
    </row>
    <row r="34" ht="20.05" customHeight="1">
      <c r="A34" t="s" s="11">
        <v>69</v>
      </c>
      <c r="B34" t="s" s="12">
        <v>70</v>
      </c>
      <c r="C34" t="s" s="13">
        <v>10</v>
      </c>
      <c r="D34" s="17">
        <v>1.7</v>
      </c>
      <c r="E34" s="15"/>
      <c r="F34" s="15"/>
      <c r="G34" s="15"/>
    </row>
    <row r="35" ht="20.05" customHeight="1">
      <c r="A35" t="s" s="11">
        <v>71</v>
      </c>
      <c r="B35" t="s" s="12">
        <v>72</v>
      </c>
      <c r="C35" t="s" s="13">
        <v>10</v>
      </c>
      <c r="D35" s="17">
        <v>1.54</v>
      </c>
      <c r="E35" s="15"/>
      <c r="F35" s="15"/>
      <c r="G35" s="15"/>
    </row>
    <row r="36" ht="26.35" customHeight="1">
      <c r="A36" t="s" s="11">
        <v>73</v>
      </c>
      <c r="B36" t="s" s="12">
        <v>74</v>
      </c>
      <c r="C36" t="s" s="13">
        <v>10</v>
      </c>
      <c r="D36" s="17">
        <v>1.52</v>
      </c>
      <c r="E36" s="15"/>
      <c r="F36" s="15"/>
      <c r="G36" s="15"/>
    </row>
    <row r="37" ht="20.05" customHeight="1">
      <c r="A37" t="s" s="11">
        <v>75</v>
      </c>
      <c r="B37" t="s" s="12">
        <v>76</v>
      </c>
      <c r="C37" t="s" s="13">
        <v>10</v>
      </c>
      <c r="D37" s="17">
        <v>1.45</v>
      </c>
      <c r="E37" s="15"/>
      <c r="F37" s="15"/>
      <c r="G37" s="15"/>
    </row>
    <row r="38" ht="26.35" customHeight="1">
      <c r="A38" t="s" s="11">
        <v>77</v>
      </c>
      <c r="B38" t="s" s="12">
        <v>78</v>
      </c>
      <c r="C38" t="s" s="13">
        <v>10</v>
      </c>
      <c r="D38" s="17">
        <v>1.45</v>
      </c>
      <c r="E38" s="15"/>
      <c r="F38" s="15"/>
      <c r="G38" s="15"/>
    </row>
    <row r="39" ht="26.35" customHeight="1">
      <c r="A39" t="s" s="11">
        <v>79</v>
      </c>
      <c r="B39" t="s" s="12">
        <v>80</v>
      </c>
      <c r="C39" t="s" s="13">
        <v>10</v>
      </c>
      <c r="D39" s="17">
        <v>1.4</v>
      </c>
      <c r="E39" s="15"/>
      <c r="F39" s="15"/>
      <c r="G39" s="15"/>
    </row>
    <row r="40" ht="26.35" customHeight="1">
      <c r="A40" t="s" s="11">
        <v>81</v>
      </c>
      <c r="B40" t="s" s="12">
        <v>82</v>
      </c>
      <c r="C40" t="s" s="13">
        <v>10</v>
      </c>
      <c r="D40" s="17">
        <v>1.38</v>
      </c>
      <c r="E40" s="15"/>
      <c r="F40" s="15"/>
      <c r="G40" s="15"/>
    </row>
    <row r="41" ht="26.35" customHeight="1">
      <c r="A41" t="s" s="11">
        <v>83</v>
      </c>
      <c r="B41" t="s" s="12">
        <v>84</v>
      </c>
      <c r="C41" t="s" s="13">
        <v>10</v>
      </c>
      <c r="D41" s="17">
        <v>1.36</v>
      </c>
      <c r="E41" s="15"/>
      <c r="F41" s="15"/>
      <c r="G41" s="15"/>
    </row>
    <row r="42" ht="20.05" customHeight="1">
      <c r="A42" t="s" s="11">
        <v>85</v>
      </c>
      <c r="B42" t="s" s="12">
        <v>86</v>
      </c>
      <c r="C42" t="s" s="13">
        <v>10</v>
      </c>
      <c r="D42" s="17">
        <v>1.36</v>
      </c>
      <c r="E42" s="15"/>
      <c r="F42" s="15"/>
      <c r="G42" s="15"/>
    </row>
    <row r="43" ht="26.35" customHeight="1">
      <c r="A43" t="s" s="11">
        <v>87</v>
      </c>
      <c r="B43" t="s" s="12">
        <v>88</v>
      </c>
      <c r="C43" t="s" s="13">
        <v>10</v>
      </c>
      <c r="D43" s="17">
        <v>1.34</v>
      </c>
      <c r="E43" s="15"/>
      <c r="F43" s="15"/>
      <c r="G43" s="15"/>
    </row>
    <row r="44" ht="39.35" customHeight="1">
      <c r="A44" t="s" s="11">
        <v>89</v>
      </c>
      <c r="B44" t="s" s="12">
        <v>90</v>
      </c>
      <c r="C44" t="s" s="13">
        <v>10</v>
      </c>
      <c r="D44" s="17">
        <v>1.3</v>
      </c>
      <c r="E44" s="15"/>
      <c r="F44" s="15"/>
      <c r="G44" s="15"/>
    </row>
    <row r="45" ht="26.35" customHeight="1">
      <c r="A45" t="s" s="11">
        <v>91</v>
      </c>
      <c r="B45" t="s" s="12">
        <v>92</v>
      </c>
      <c r="C45" t="s" s="13">
        <v>10</v>
      </c>
      <c r="D45" s="17">
        <v>1.29</v>
      </c>
      <c r="E45" s="15"/>
      <c r="F45" s="15"/>
      <c r="G45" s="15"/>
    </row>
    <row r="46" ht="26.35" customHeight="1">
      <c r="A46" t="s" s="11">
        <v>93</v>
      </c>
      <c r="B46" t="s" s="12">
        <v>94</v>
      </c>
      <c r="C46" t="s" s="13">
        <v>10</v>
      </c>
      <c r="D46" s="17">
        <v>1.29</v>
      </c>
      <c r="E46" s="15"/>
      <c r="F46" s="15"/>
      <c r="G46" s="15"/>
    </row>
    <row r="47" ht="26.35" customHeight="1">
      <c r="A47" t="s" s="11">
        <v>95</v>
      </c>
      <c r="B47" t="s" s="12">
        <v>96</v>
      </c>
      <c r="C47" t="s" s="13">
        <v>10</v>
      </c>
      <c r="D47" s="17">
        <v>1.28</v>
      </c>
      <c r="E47" s="15"/>
      <c r="F47" s="15"/>
      <c r="G47" s="15"/>
    </row>
    <row r="48" ht="20.05" customHeight="1">
      <c r="A48" t="s" s="11">
        <v>97</v>
      </c>
      <c r="B48" t="s" s="12">
        <v>98</v>
      </c>
      <c r="C48" t="s" s="13">
        <v>10</v>
      </c>
      <c r="D48" s="17">
        <v>1.28</v>
      </c>
      <c r="E48" s="15"/>
      <c r="F48" s="15"/>
      <c r="G48" s="15"/>
    </row>
    <row r="49" ht="39.35" customHeight="1">
      <c r="A49" t="s" s="11">
        <v>99</v>
      </c>
      <c r="B49" t="s" s="12">
        <v>100</v>
      </c>
      <c r="C49" t="s" s="13">
        <v>10</v>
      </c>
      <c r="D49" s="17">
        <v>1.16</v>
      </c>
      <c r="E49" s="15"/>
      <c r="F49" s="15"/>
      <c r="G49" s="15"/>
    </row>
    <row r="50" ht="26.35" customHeight="1">
      <c r="A50" t="s" s="11">
        <v>101</v>
      </c>
      <c r="B50" t="s" s="12">
        <v>102</v>
      </c>
      <c r="C50" t="s" s="13">
        <v>10</v>
      </c>
      <c r="D50" s="17">
        <v>1.16</v>
      </c>
      <c r="E50" s="15"/>
      <c r="F50" s="15"/>
      <c r="G50" s="15"/>
    </row>
    <row r="51" ht="52.35" customHeight="1">
      <c r="A51" t="s" s="11">
        <v>103</v>
      </c>
      <c r="B51" t="s" s="12">
        <v>104</v>
      </c>
      <c r="C51" t="s" s="13">
        <v>10</v>
      </c>
      <c r="D51" s="17">
        <v>1.15</v>
      </c>
      <c r="E51" s="15"/>
      <c r="F51" s="15"/>
      <c r="G51" s="15"/>
    </row>
    <row r="52" ht="26.35" customHeight="1">
      <c r="A52" t="s" s="11">
        <v>105</v>
      </c>
      <c r="B52" t="s" s="12">
        <v>106</v>
      </c>
      <c r="C52" t="s" s="13">
        <v>10</v>
      </c>
      <c r="D52" s="17">
        <v>1.11</v>
      </c>
      <c r="E52" s="15"/>
      <c r="F52" s="15"/>
      <c r="G52" s="15"/>
    </row>
    <row r="53" ht="26.35" customHeight="1">
      <c r="A53" t="s" s="11">
        <v>107</v>
      </c>
      <c r="B53" t="s" s="12">
        <v>108</v>
      </c>
      <c r="C53" t="s" s="13">
        <v>10</v>
      </c>
      <c r="D53" s="17">
        <v>1.09</v>
      </c>
      <c r="E53" s="15"/>
      <c r="F53" s="15"/>
      <c r="G53" s="15"/>
    </row>
    <row r="54" ht="26.35" customHeight="1">
      <c r="A54" t="s" s="11">
        <v>109</v>
      </c>
      <c r="B54" t="s" s="12">
        <v>110</v>
      </c>
      <c r="C54" t="s" s="13">
        <v>10</v>
      </c>
      <c r="D54" s="17">
        <v>1.05</v>
      </c>
      <c r="E54" s="15"/>
      <c r="F54" s="15"/>
      <c r="G54" s="15"/>
    </row>
    <row r="55" ht="26.35" customHeight="1">
      <c r="A55" t="s" s="11">
        <v>111</v>
      </c>
      <c r="B55" t="s" s="12">
        <v>112</v>
      </c>
      <c r="C55" t="s" s="13">
        <v>10</v>
      </c>
      <c r="D55" s="17">
        <v>1.02</v>
      </c>
      <c r="E55" s="15"/>
      <c r="F55" s="15"/>
      <c r="G55" s="15"/>
    </row>
    <row r="56" ht="26.35" customHeight="1">
      <c r="A56" t="s" s="11">
        <v>113</v>
      </c>
      <c r="B56" t="s" s="12">
        <v>114</v>
      </c>
      <c r="C56" t="s" s="13">
        <v>10</v>
      </c>
      <c r="D56" s="17">
        <v>0.99</v>
      </c>
      <c r="E56" s="15"/>
      <c r="F56" s="15"/>
      <c r="G56" s="15"/>
    </row>
    <row r="57" ht="39.35" customHeight="1">
      <c r="A57" t="s" s="11">
        <v>115</v>
      </c>
      <c r="B57" t="s" s="12">
        <v>116</v>
      </c>
      <c r="C57" t="s" s="13">
        <v>10</v>
      </c>
      <c r="D57" s="17">
        <v>0.97</v>
      </c>
      <c r="E57" s="15"/>
      <c r="F57" s="15"/>
      <c r="G57" s="15"/>
    </row>
    <row r="58" ht="26.35" customHeight="1">
      <c r="A58" t="s" s="11">
        <v>117</v>
      </c>
      <c r="B58" t="s" s="12">
        <v>118</v>
      </c>
      <c r="C58" t="s" s="13">
        <v>10</v>
      </c>
      <c r="D58" s="17">
        <v>0.95</v>
      </c>
      <c r="E58" s="15"/>
      <c r="F58" s="15"/>
      <c r="G58" s="15"/>
    </row>
    <row r="59" ht="20.05" customHeight="1">
      <c r="A59" t="s" s="11">
        <v>119</v>
      </c>
      <c r="B59" t="s" s="12">
        <v>120</v>
      </c>
      <c r="C59" t="s" s="13">
        <v>10</v>
      </c>
      <c r="D59" s="17">
        <v>0.9399999999999999</v>
      </c>
      <c r="E59" s="15"/>
      <c r="F59" s="15"/>
      <c r="G59" s="15"/>
    </row>
    <row r="60" ht="26.35" customHeight="1">
      <c r="A60" t="s" s="11">
        <v>121</v>
      </c>
      <c r="B60" t="s" s="12">
        <v>122</v>
      </c>
      <c r="C60" t="s" s="13">
        <v>10</v>
      </c>
      <c r="D60" s="17">
        <v>0.93</v>
      </c>
      <c r="E60" s="15"/>
      <c r="F60" s="15"/>
      <c r="G60" s="15"/>
    </row>
    <row r="61" ht="26.35" customHeight="1">
      <c r="A61" t="s" s="11">
        <v>123</v>
      </c>
      <c r="B61" t="s" s="12">
        <v>124</v>
      </c>
      <c r="C61" t="s" s="13">
        <v>10</v>
      </c>
      <c r="D61" s="17">
        <v>0.88</v>
      </c>
      <c r="E61" s="15"/>
      <c r="F61" s="15"/>
      <c r="G61" s="15"/>
    </row>
    <row r="62" ht="26.35" customHeight="1">
      <c r="A62" t="s" s="11">
        <v>125</v>
      </c>
      <c r="B62" t="s" s="12">
        <v>126</v>
      </c>
      <c r="C62" t="s" s="13">
        <v>10</v>
      </c>
      <c r="D62" s="17">
        <v>0.87</v>
      </c>
      <c r="E62" s="15"/>
      <c r="F62" s="15"/>
      <c r="G62" s="15"/>
    </row>
    <row r="63" ht="20.05" customHeight="1">
      <c r="A63" t="s" s="11">
        <v>127</v>
      </c>
      <c r="B63" t="s" s="12">
        <v>128</v>
      </c>
      <c r="C63" t="s" s="13">
        <v>10</v>
      </c>
      <c r="D63" s="17">
        <v>0.86</v>
      </c>
      <c r="E63" s="15"/>
      <c r="F63" s="15"/>
      <c r="G63" s="15"/>
    </row>
    <row r="64" ht="20.05" customHeight="1">
      <c r="A64" t="s" s="11">
        <v>129</v>
      </c>
      <c r="B64" t="s" s="12">
        <v>130</v>
      </c>
      <c r="C64" t="s" s="13">
        <v>10</v>
      </c>
      <c r="D64" s="17">
        <v>0.85</v>
      </c>
      <c r="E64" s="15"/>
      <c r="F64" s="15"/>
      <c r="G64" s="15"/>
    </row>
    <row r="65" ht="26.35" customHeight="1">
      <c r="A65" t="s" s="11">
        <v>131</v>
      </c>
      <c r="B65" t="s" s="12">
        <v>132</v>
      </c>
      <c r="C65" t="s" s="13">
        <v>10</v>
      </c>
      <c r="D65" s="17">
        <v>0.83</v>
      </c>
      <c r="E65" s="15"/>
      <c r="F65" s="15"/>
      <c r="G65" s="15"/>
    </row>
    <row r="66" ht="26.35" customHeight="1">
      <c r="A66" t="s" s="11">
        <v>133</v>
      </c>
      <c r="B66" t="s" s="12">
        <v>134</v>
      </c>
      <c r="C66" t="s" s="13">
        <v>10</v>
      </c>
      <c r="D66" s="17">
        <v>0.82</v>
      </c>
      <c r="E66" s="15"/>
      <c r="F66" s="15"/>
      <c r="G66" s="15"/>
    </row>
    <row r="67" ht="26.35" customHeight="1">
      <c r="A67" t="s" s="11">
        <v>135</v>
      </c>
      <c r="B67" t="s" s="12">
        <v>136</v>
      </c>
      <c r="C67" t="s" s="13">
        <v>10</v>
      </c>
      <c r="D67" s="17">
        <v>0.82</v>
      </c>
      <c r="E67" s="15"/>
      <c r="F67" s="15"/>
      <c r="G67" s="15"/>
    </row>
    <row r="68" ht="20.05" customHeight="1">
      <c r="A68" t="s" s="11">
        <v>137</v>
      </c>
      <c r="B68" t="s" s="12">
        <v>138</v>
      </c>
      <c r="C68" t="s" s="13">
        <v>10</v>
      </c>
      <c r="D68" s="17">
        <v>0.82</v>
      </c>
      <c r="E68" s="15"/>
      <c r="F68" s="15"/>
      <c r="G68" s="15"/>
    </row>
    <row r="69" ht="20.05" customHeight="1">
      <c r="A69" t="s" s="11">
        <v>139</v>
      </c>
      <c r="B69" t="s" s="12">
        <v>140</v>
      </c>
      <c r="C69" t="s" s="13">
        <v>10</v>
      </c>
      <c r="D69" s="17">
        <v>0.82</v>
      </c>
      <c r="E69" s="15"/>
      <c r="F69" s="15"/>
      <c r="G69" s="15"/>
    </row>
    <row r="70" ht="26.35" customHeight="1">
      <c r="A70" t="s" s="11">
        <v>141</v>
      </c>
      <c r="B70" t="s" s="12">
        <v>142</v>
      </c>
      <c r="C70" t="s" s="13">
        <v>10</v>
      </c>
      <c r="D70" s="17">
        <v>0.8</v>
      </c>
      <c r="E70" s="15"/>
      <c r="F70" s="15"/>
      <c r="G70" s="15"/>
    </row>
    <row r="71" ht="26.35" customHeight="1">
      <c r="A71" t="s" s="11">
        <v>143</v>
      </c>
      <c r="B71" t="s" s="12">
        <v>144</v>
      </c>
      <c r="C71" t="s" s="13">
        <v>10</v>
      </c>
      <c r="D71" s="17">
        <v>0.78</v>
      </c>
      <c r="E71" s="15"/>
      <c r="F71" s="15"/>
      <c r="G71" s="15"/>
    </row>
    <row r="72" ht="20.05" customHeight="1">
      <c r="A72" t="s" s="11">
        <v>145</v>
      </c>
      <c r="B72" t="s" s="12">
        <v>146</v>
      </c>
      <c r="C72" t="s" s="13">
        <v>10</v>
      </c>
      <c r="D72" s="17">
        <v>0.77</v>
      </c>
      <c r="E72" s="15"/>
      <c r="F72" s="15"/>
      <c r="G72" s="15"/>
    </row>
    <row r="73" ht="26.35" customHeight="1">
      <c r="A73" t="s" s="11">
        <v>147</v>
      </c>
      <c r="B73" t="s" s="12">
        <v>148</v>
      </c>
      <c r="C73" t="s" s="13">
        <v>10</v>
      </c>
      <c r="D73" s="17">
        <v>0.76</v>
      </c>
      <c r="E73" s="15"/>
      <c r="F73" s="15"/>
      <c r="G73" s="15"/>
    </row>
    <row r="74" ht="20.05" customHeight="1">
      <c r="A74" t="s" s="11">
        <v>149</v>
      </c>
      <c r="B74" t="s" s="12">
        <v>150</v>
      </c>
      <c r="C74" t="s" s="13">
        <v>10</v>
      </c>
      <c r="D74" s="17">
        <v>0.72</v>
      </c>
      <c r="E74" s="15"/>
      <c r="F74" s="15"/>
      <c r="G74" s="15"/>
    </row>
    <row r="75" ht="20.05" customHeight="1">
      <c r="A75" t="s" s="11">
        <v>151</v>
      </c>
      <c r="B75" t="s" s="12">
        <v>152</v>
      </c>
      <c r="C75" t="s" s="13">
        <v>10</v>
      </c>
      <c r="D75" s="17">
        <v>0.71</v>
      </c>
      <c r="E75" s="15"/>
      <c r="F75" s="15"/>
      <c r="G75" s="15"/>
    </row>
    <row r="76" ht="20.05" customHeight="1">
      <c r="A76" t="s" s="11">
        <v>153</v>
      </c>
      <c r="B76" t="s" s="12">
        <v>154</v>
      </c>
      <c r="C76" t="s" s="13">
        <v>10</v>
      </c>
      <c r="D76" s="17">
        <v>0.6899999999999999</v>
      </c>
      <c r="E76" s="15"/>
      <c r="F76" s="15"/>
      <c r="G76" s="15"/>
    </row>
    <row r="77" ht="26.35" customHeight="1">
      <c r="A77" t="s" s="11">
        <v>155</v>
      </c>
      <c r="B77" t="s" s="12">
        <v>156</v>
      </c>
      <c r="C77" t="s" s="13">
        <v>10</v>
      </c>
      <c r="D77" s="17">
        <v>0.66</v>
      </c>
      <c r="E77" s="15"/>
      <c r="F77" s="15"/>
      <c r="G77" s="15"/>
    </row>
    <row r="78" ht="20.05" customHeight="1">
      <c r="A78" t="s" s="11">
        <v>157</v>
      </c>
      <c r="B78" t="s" s="12">
        <v>158</v>
      </c>
      <c r="C78" t="s" s="13">
        <v>10</v>
      </c>
      <c r="D78" s="17">
        <v>0.63</v>
      </c>
      <c r="E78" s="15"/>
      <c r="F78" s="15"/>
      <c r="G78" s="15"/>
    </row>
    <row r="79" ht="20.05" customHeight="1">
      <c r="A79" t="s" s="11">
        <v>159</v>
      </c>
      <c r="B79" t="s" s="12">
        <v>160</v>
      </c>
      <c r="C79" t="s" s="13">
        <v>10</v>
      </c>
      <c r="D79" s="17">
        <v>0.62</v>
      </c>
      <c r="E79" s="15"/>
      <c r="F79" s="15"/>
      <c r="G79" s="15"/>
    </row>
    <row r="80" ht="39.35" customHeight="1">
      <c r="A80" t="s" s="11">
        <v>161</v>
      </c>
      <c r="B80" t="s" s="12">
        <v>162</v>
      </c>
      <c r="C80" t="s" s="13">
        <v>10</v>
      </c>
      <c r="D80" s="17">
        <v>0.6</v>
      </c>
      <c r="E80" s="15"/>
      <c r="F80" s="15"/>
      <c r="G80" s="15"/>
    </row>
    <row r="81" ht="20.05" customHeight="1">
      <c r="A81" t="s" s="11">
        <v>163</v>
      </c>
      <c r="B81" t="s" s="12">
        <v>164</v>
      </c>
      <c r="C81" t="s" s="13">
        <v>10</v>
      </c>
      <c r="D81" s="17">
        <v>0.6</v>
      </c>
      <c r="E81" s="15"/>
      <c r="F81" s="15"/>
      <c r="G81" s="15"/>
    </row>
    <row r="82" ht="39.35" customHeight="1">
      <c r="A82" t="s" s="11">
        <v>165</v>
      </c>
      <c r="B82" t="s" s="12">
        <v>166</v>
      </c>
      <c r="C82" t="s" s="13">
        <v>10</v>
      </c>
      <c r="D82" s="17">
        <v>0.6</v>
      </c>
      <c r="E82" s="15"/>
      <c r="F82" s="15"/>
      <c r="G82" s="15"/>
    </row>
    <row r="83" ht="20.05" customHeight="1">
      <c r="A83" t="s" s="11">
        <v>167</v>
      </c>
      <c r="B83" t="s" s="12">
        <v>168</v>
      </c>
      <c r="C83" t="s" s="13">
        <v>10</v>
      </c>
      <c r="D83" s="17">
        <v>0.58</v>
      </c>
      <c r="E83" s="15"/>
      <c r="F83" s="15"/>
      <c r="G83" s="15"/>
    </row>
    <row r="84" ht="26.35" customHeight="1">
      <c r="A84" t="s" s="11">
        <v>169</v>
      </c>
      <c r="B84" t="s" s="12">
        <v>170</v>
      </c>
      <c r="C84" t="s" s="13">
        <v>10</v>
      </c>
      <c r="D84" s="17">
        <v>0.57</v>
      </c>
      <c r="E84" s="15"/>
      <c r="F84" s="15"/>
      <c r="G84" s="15"/>
    </row>
    <row r="85" ht="39.35" customHeight="1">
      <c r="A85" t="s" s="11">
        <v>171</v>
      </c>
      <c r="B85" t="s" s="12">
        <v>172</v>
      </c>
      <c r="C85" t="s" s="13">
        <v>10</v>
      </c>
      <c r="D85" s="17">
        <v>0.54</v>
      </c>
      <c r="E85" s="15"/>
      <c r="F85" s="15"/>
      <c r="G85" s="15"/>
    </row>
    <row r="86" ht="39.35" customHeight="1">
      <c r="A86" t="s" s="11">
        <v>173</v>
      </c>
      <c r="B86" t="s" s="12">
        <v>174</v>
      </c>
      <c r="C86" t="s" s="13">
        <v>10</v>
      </c>
      <c r="D86" s="17">
        <v>0.54</v>
      </c>
      <c r="E86" s="15"/>
      <c r="F86" s="15"/>
      <c r="G86" s="15"/>
    </row>
    <row r="87" ht="20.05" customHeight="1">
      <c r="A87" t="s" s="11">
        <v>175</v>
      </c>
      <c r="B87" t="s" s="12">
        <v>176</v>
      </c>
      <c r="C87" t="s" s="13">
        <v>10</v>
      </c>
      <c r="D87" s="17">
        <v>0.54</v>
      </c>
      <c r="E87" s="15"/>
      <c r="F87" s="15"/>
      <c r="G87" s="15"/>
    </row>
    <row r="88" ht="20.05" customHeight="1">
      <c r="A88" t="s" s="11">
        <v>177</v>
      </c>
      <c r="B88" t="s" s="12">
        <v>178</v>
      </c>
      <c r="C88" t="s" s="13">
        <v>10</v>
      </c>
      <c r="D88" s="17">
        <v>0.53</v>
      </c>
      <c r="E88" s="15"/>
      <c r="F88" s="15"/>
      <c r="G88" s="15"/>
    </row>
    <row r="89" ht="26.35" customHeight="1">
      <c r="A89" t="s" s="11">
        <v>179</v>
      </c>
      <c r="B89" t="s" s="12">
        <v>180</v>
      </c>
      <c r="C89" t="s" s="13">
        <v>10</v>
      </c>
      <c r="D89" s="17">
        <v>0.52</v>
      </c>
      <c r="E89" s="15"/>
      <c r="F89" s="15"/>
      <c r="G89" s="15"/>
    </row>
    <row r="90" ht="26.35" customHeight="1">
      <c r="A90" t="s" s="11">
        <v>181</v>
      </c>
      <c r="B90" t="s" s="12">
        <v>182</v>
      </c>
      <c r="C90" t="s" s="13">
        <v>10</v>
      </c>
      <c r="D90" s="17">
        <v>0.51</v>
      </c>
      <c r="E90" s="15"/>
      <c r="F90" s="15"/>
      <c r="G90" s="15"/>
    </row>
    <row r="91" ht="39.35" customHeight="1">
      <c r="A91" t="s" s="11">
        <v>183</v>
      </c>
      <c r="B91" t="s" s="12">
        <v>184</v>
      </c>
      <c r="C91" t="s" s="13">
        <v>10</v>
      </c>
      <c r="D91" s="17">
        <v>0.5</v>
      </c>
      <c r="E91" s="15"/>
      <c r="F91" s="15"/>
      <c r="G91" s="15"/>
    </row>
    <row r="92" ht="26.35" customHeight="1">
      <c r="A92" t="s" s="11">
        <v>185</v>
      </c>
      <c r="B92" t="s" s="12">
        <v>186</v>
      </c>
      <c r="C92" t="s" s="13">
        <v>10</v>
      </c>
      <c r="D92" s="17">
        <v>0.49</v>
      </c>
      <c r="E92" s="15"/>
      <c r="F92" s="15"/>
      <c r="G92" s="15"/>
    </row>
    <row r="93" ht="39.35" customHeight="1">
      <c r="A93" t="s" s="11">
        <v>187</v>
      </c>
      <c r="B93" t="s" s="12">
        <v>188</v>
      </c>
      <c r="C93" t="s" s="13">
        <v>10</v>
      </c>
      <c r="D93" s="17">
        <v>0.48</v>
      </c>
      <c r="E93" s="15"/>
      <c r="F93" s="15"/>
      <c r="G93" s="15"/>
    </row>
    <row r="94" ht="20.05" customHeight="1">
      <c r="A94" t="s" s="11">
        <v>189</v>
      </c>
      <c r="B94" t="s" s="12">
        <v>190</v>
      </c>
      <c r="C94" t="s" s="13">
        <v>10</v>
      </c>
      <c r="D94" s="17">
        <v>0.48</v>
      </c>
      <c r="E94" s="15"/>
      <c r="F94" s="15"/>
      <c r="G94" s="15"/>
    </row>
    <row r="95" ht="26.35" customHeight="1">
      <c r="A95" t="s" s="11">
        <v>191</v>
      </c>
      <c r="B95" t="s" s="12">
        <v>192</v>
      </c>
      <c r="C95" t="s" s="13">
        <v>10</v>
      </c>
      <c r="D95" s="17">
        <v>0.46</v>
      </c>
      <c r="E95" s="15"/>
      <c r="F95" s="15"/>
      <c r="G95" s="15"/>
    </row>
    <row r="96" ht="26.35" customHeight="1">
      <c r="A96" t="s" s="11">
        <v>193</v>
      </c>
      <c r="B96" t="s" s="12">
        <v>194</v>
      </c>
      <c r="C96" t="s" s="13">
        <v>10</v>
      </c>
      <c r="D96" s="17">
        <v>0.46</v>
      </c>
      <c r="E96" s="15"/>
      <c r="F96" s="15"/>
      <c r="G96" s="15"/>
    </row>
    <row r="97" ht="39.35" customHeight="1">
      <c r="A97" t="s" s="11">
        <v>195</v>
      </c>
      <c r="B97" t="s" s="12">
        <v>196</v>
      </c>
      <c r="C97" t="s" s="13">
        <v>10</v>
      </c>
      <c r="D97" s="17">
        <v>0.44</v>
      </c>
      <c r="E97" s="15"/>
      <c r="F97" s="15"/>
      <c r="G97" s="15"/>
    </row>
    <row r="98" ht="26.35" customHeight="1">
      <c r="A98" t="s" s="11">
        <v>197</v>
      </c>
      <c r="B98" t="s" s="12">
        <v>198</v>
      </c>
      <c r="C98" t="s" s="13">
        <v>10</v>
      </c>
      <c r="D98" s="17">
        <v>0.41</v>
      </c>
      <c r="E98" s="15"/>
      <c r="F98" s="15"/>
      <c r="G98" s="15"/>
    </row>
    <row r="99" ht="20.05" customHeight="1">
      <c r="A99" t="s" s="11">
        <v>199</v>
      </c>
      <c r="B99" t="s" s="12">
        <v>200</v>
      </c>
      <c r="C99" t="s" s="13">
        <v>10</v>
      </c>
      <c r="D99" s="17">
        <v>0.41</v>
      </c>
      <c r="E99" s="15"/>
      <c r="F99" s="15"/>
      <c r="G99" s="15"/>
    </row>
    <row r="100" ht="20.05" customHeight="1">
      <c r="A100" t="s" s="11">
        <v>201</v>
      </c>
      <c r="B100" t="s" s="12">
        <v>202</v>
      </c>
      <c r="C100" t="s" s="13">
        <v>10</v>
      </c>
      <c r="D100" s="17">
        <v>0.4</v>
      </c>
      <c r="E100" s="15"/>
      <c r="F100" s="15"/>
      <c r="G100" s="15"/>
    </row>
    <row r="101" ht="20.05" customHeight="1">
      <c r="A101" t="s" s="11">
        <v>203</v>
      </c>
      <c r="B101" t="s" s="12">
        <v>204</v>
      </c>
      <c r="C101" t="s" s="13">
        <v>10</v>
      </c>
      <c r="D101" s="17">
        <v>0.38</v>
      </c>
      <c r="E101" s="15"/>
      <c r="F101" s="15"/>
      <c r="G101" s="15"/>
    </row>
    <row r="102" ht="20.05" customHeight="1">
      <c r="A102" t="s" s="11">
        <v>205</v>
      </c>
      <c r="B102" t="s" s="12">
        <v>206</v>
      </c>
      <c r="C102" t="s" s="13">
        <v>10</v>
      </c>
      <c r="D102" s="17">
        <v>0.37</v>
      </c>
      <c r="E102" s="15"/>
      <c r="F102" s="15"/>
      <c r="G102" s="15"/>
    </row>
    <row r="103" ht="26.35" customHeight="1">
      <c r="A103" t="s" s="11">
        <v>207</v>
      </c>
      <c r="B103" t="s" s="12">
        <v>208</v>
      </c>
      <c r="C103" t="s" s="13">
        <v>10</v>
      </c>
      <c r="D103" s="17">
        <v>0.36</v>
      </c>
      <c r="E103" s="15"/>
      <c r="F103" s="15"/>
      <c r="G103" s="15"/>
    </row>
    <row r="104" ht="20.05" customHeight="1">
      <c r="A104" t="s" s="11">
        <v>209</v>
      </c>
      <c r="B104" t="s" s="12">
        <v>210</v>
      </c>
      <c r="C104" t="s" s="13">
        <v>10</v>
      </c>
      <c r="D104" s="17">
        <v>0.36</v>
      </c>
      <c r="E104" s="15"/>
      <c r="F104" s="15"/>
      <c r="G104" s="15"/>
    </row>
    <row r="105" ht="20.05" customHeight="1">
      <c r="A105" t="s" s="11">
        <v>211</v>
      </c>
      <c r="B105" t="s" s="12">
        <v>212</v>
      </c>
      <c r="C105" t="s" s="13">
        <v>10</v>
      </c>
      <c r="D105" s="17">
        <v>0.32</v>
      </c>
      <c r="E105" s="15"/>
      <c r="F105" s="15"/>
      <c r="G105" s="15"/>
    </row>
    <row r="106" ht="26.35" customHeight="1">
      <c r="A106" t="s" s="11">
        <v>213</v>
      </c>
      <c r="B106" t="s" s="12">
        <v>214</v>
      </c>
      <c r="C106" t="s" s="13">
        <v>10</v>
      </c>
      <c r="D106" s="17">
        <v>0.21</v>
      </c>
      <c r="E106" s="15"/>
      <c r="F106" s="15"/>
      <c r="G106" s="15"/>
    </row>
    <row r="107" ht="26.35" customHeight="1">
      <c r="A107" t="s" s="11">
        <v>215</v>
      </c>
      <c r="B107" t="s" s="12">
        <v>216</v>
      </c>
      <c r="C107" t="s" s="13">
        <v>10</v>
      </c>
      <c r="D107" s="18"/>
      <c r="E107" s="15"/>
      <c r="F107" s="15"/>
      <c r="G107" s="15"/>
    </row>
    <row r="108" ht="26.35" customHeight="1">
      <c r="A108" t="s" s="11">
        <v>217</v>
      </c>
      <c r="B108" t="s" s="12">
        <v>218</v>
      </c>
      <c r="C108" t="s" s="13">
        <v>7</v>
      </c>
      <c r="D108" s="18"/>
      <c r="E108" s="15"/>
      <c r="F108" s="15"/>
      <c r="G108" s="15"/>
    </row>
    <row r="109" ht="20.05" customHeight="1">
      <c r="A109" t="s" s="11">
        <v>219</v>
      </c>
      <c r="B109" t="s" s="12">
        <v>220</v>
      </c>
      <c r="C109" t="s" s="13">
        <v>7</v>
      </c>
      <c r="D109" s="18"/>
      <c r="E109" s="15"/>
      <c r="F109" s="15"/>
      <c r="G109" s="15"/>
    </row>
    <row r="110" ht="20.05" customHeight="1">
      <c r="A110" t="s" s="11">
        <v>221</v>
      </c>
      <c r="B110" t="s" s="12">
        <v>222</v>
      </c>
      <c r="C110" t="s" s="13">
        <v>7</v>
      </c>
      <c r="D110" s="18"/>
      <c r="E110" s="15"/>
      <c r="F110" s="15"/>
      <c r="G110" s="15"/>
    </row>
    <row r="111" ht="20.05" customHeight="1">
      <c r="A111" t="s" s="11">
        <v>223</v>
      </c>
      <c r="B111" t="s" s="12">
        <v>224</v>
      </c>
      <c r="C111" t="s" s="13">
        <v>7</v>
      </c>
      <c r="D111" s="19">
        <v>30</v>
      </c>
      <c r="E111" s="15"/>
      <c r="F111" s="15"/>
      <c r="G111" s="15"/>
    </row>
    <row r="112" ht="39.35" customHeight="1">
      <c r="A112" t="s" s="11">
        <v>225</v>
      </c>
      <c r="B112" t="s" s="12">
        <v>226</v>
      </c>
      <c r="C112" t="s" s="13">
        <v>7</v>
      </c>
      <c r="D112" s="18"/>
      <c r="E112" s="15"/>
      <c r="F112" s="15"/>
      <c r="G112" s="15"/>
    </row>
  </sheetData>
  <mergeCells count="1">
    <mergeCell ref="A1:G1"/>
  </mergeCells>
  <hyperlinks>
    <hyperlink ref="B25" r:id="rId1" location="" tooltip="" display="Amazon.com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P14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6" width="16.3516" style="20" customWidth="1"/>
    <col min="17" max="16384" width="16.3516" style="20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20.2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ht="48.05" customHeight="1">
      <c r="A3" t="s" s="21">
        <v>227</v>
      </c>
      <c r="B3" s="22"/>
      <c r="C3" t="s" s="23">
        <v>228</v>
      </c>
      <c r="D3" s="24">
        <v>230</v>
      </c>
      <c r="E3" s="25">
        <v>175.41</v>
      </c>
      <c r="F3" s="26">
        <v>0</v>
      </c>
      <c r="G3" s="27">
        <v>40344.95</v>
      </c>
      <c r="H3" s="26">
        <v>0</v>
      </c>
      <c r="I3" s="27">
        <v>40344.95</v>
      </c>
      <c r="J3" s="27">
        <v>102297.39</v>
      </c>
      <c r="K3" s="27">
        <v>61952.44</v>
      </c>
      <c r="L3" s="28">
        <v>1.5356</v>
      </c>
      <c r="M3" s="28">
        <v>1.5675</v>
      </c>
      <c r="N3" s="29"/>
      <c r="O3" s="10"/>
      <c r="P3" s="30" cm="1">
        <f t="array" ref="P3">$I3/$I$9</f>
        <v>0.123830457554491</v>
      </c>
    </row>
    <row r="4" ht="41.85" customHeight="1">
      <c r="A4" s="31"/>
      <c r="B4" s="32"/>
      <c r="C4" t="s" s="33">
        <v>229</v>
      </c>
      <c r="D4" s="18"/>
      <c r="E4" t="s" s="34">
        <v>230</v>
      </c>
      <c r="F4" s="35">
        <v>13600</v>
      </c>
      <c r="G4" s="36">
        <v>7.36</v>
      </c>
      <c r="H4" s="37">
        <v>11696</v>
      </c>
      <c r="I4" s="38">
        <v>100058.15</v>
      </c>
      <c r="J4" s="39">
        <v>0</v>
      </c>
      <c r="K4" s="38">
        <v>98577.64</v>
      </c>
      <c r="L4" s="38">
        <v>125701.13</v>
      </c>
      <c r="M4" s="38">
        <v>37338.98</v>
      </c>
      <c r="N4" s="40">
        <v>0.3788</v>
      </c>
      <c r="O4" s="40">
        <v>0.2827</v>
      </c>
      <c r="P4" s="41" cm="1">
        <f t="array" ref="P4">$I4/$I$9</f>
        <v>0.307107742023622</v>
      </c>
    </row>
    <row r="5" ht="41.85" customHeight="1">
      <c r="A5" s="31"/>
      <c r="B5" s="32"/>
      <c r="C5" t="s" s="33">
        <v>231</v>
      </c>
      <c r="D5" s="18"/>
      <c r="E5" t="s" s="34">
        <v>232</v>
      </c>
      <c r="F5" s="42">
        <v>255</v>
      </c>
      <c r="G5" s="36">
        <v>157.45</v>
      </c>
      <c r="H5" s="39">
        <v>0</v>
      </c>
      <c r="I5" s="38">
        <v>40150.15</v>
      </c>
      <c r="J5" s="39">
        <v>0</v>
      </c>
      <c r="K5" s="38">
        <v>40150.15</v>
      </c>
      <c r="L5" s="38">
        <v>47178.18</v>
      </c>
      <c r="M5" s="38">
        <v>7028.03</v>
      </c>
      <c r="N5" s="43">
        <v>0.175</v>
      </c>
      <c r="O5" s="40">
        <v>0.1587</v>
      </c>
      <c r="P5" s="41" cm="1">
        <f t="array" ref="P5">$I5/$I$9</f>
        <v>0.123232559350835</v>
      </c>
    </row>
    <row r="6" ht="41.85" customHeight="1">
      <c r="A6" s="31"/>
      <c r="B6" s="32"/>
      <c r="C6" t="s" s="33">
        <v>233</v>
      </c>
      <c r="D6" s="18"/>
      <c r="E6" t="s" s="34">
        <v>234</v>
      </c>
      <c r="F6" s="42">
        <v>100</v>
      </c>
      <c r="G6" s="36">
        <v>147.05</v>
      </c>
      <c r="H6" s="39">
        <v>0</v>
      </c>
      <c r="I6" s="38">
        <v>14704.95</v>
      </c>
      <c r="J6" s="39">
        <v>0</v>
      </c>
      <c r="K6" s="38">
        <v>14704.95</v>
      </c>
      <c r="L6" s="38">
        <v>13181.99</v>
      </c>
      <c r="M6" s="38">
        <v>-1522.96</v>
      </c>
      <c r="N6" s="40">
        <v>-0.1036</v>
      </c>
      <c r="O6" s="40">
        <v>-0.0635</v>
      </c>
      <c r="P6" s="41" cm="1">
        <f t="array" ref="P6">$I6/$I$9</f>
        <v>0.0451337946091374</v>
      </c>
    </row>
    <row r="7" ht="47.85" customHeight="1">
      <c r="A7" s="31"/>
      <c r="B7" s="32"/>
      <c r="C7" t="s" s="33">
        <v>235</v>
      </c>
      <c r="D7" s="18"/>
      <c r="E7" t="s" s="34">
        <v>236</v>
      </c>
      <c r="F7" s="42">
        <v>100</v>
      </c>
      <c r="G7" s="36">
        <v>299.36</v>
      </c>
      <c r="H7" s="44">
        <v>63.49</v>
      </c>
      <c r="I7" s="38">
        <v>29936.42</v>
      </c>
      <c r="J7" s="39">
        <v>0</v>
      </c>
      <c r="K7" s="38">
        <v>29895.95</v>
      </c>
      <c r="L7" s="38">
        <v>36487.46</v>
      </c>
      <c r="M7" s="38">
        <v>6614.52</v>
      </c>
      <c r="N7" s="40">
        <v>0.2213</v>
      </c>
      <c r="O7" s="40">
        <v>0.1918</v>
      </c>
      <c r="P7" s="41" cm="1">
        <f t="array" ref="P7">$I7/$I$9</f>
        <v>0.0918836331720185</v>
      </c>
    </row>
    <row r="8" ht="41.85" customHeight="1">
      <c r="A8" s="31"/>
      <c r="B8" s="32"/>
      <c r="C8" t="s" s="33">
        <v>237</v>
      </c>
      <c r="D8" s="18"/>
      <c r="E8" t="s" s="34">
        <v>238</v>
      </c>
      <c r="F8" s="35">
        <v>1480</v>
      </c>
      <c r="G8" s="36">
        <v>67.98</v>
      </c>
      <c r="H8" s="38">
        <v>2546.78</v>
      </c>
      <c r="I8" s="38">
        <v>100613.35</v>
      </c>
      <c r="J8" s="39">
        <v>0</v>
      </c>
      <c r="K8" s="38">
        <v>99388.31</v>
      </c>
      <c r="L8" s="38">
        <v>109637.26</v>
      </c>
      <c r="M8" s="38">
        <v>11570.69</v>
      </c>
      <c r="N8" s="40">
        <v>0.1164</v>
      </c>
      <c r="O8" s="43">
        <v>0.132</v>
      </c>
      <c r="P8" s="41" cm="1">
        <f t="array" ref="P8">$I8/$I$9</f>
        <v>0.308811813289896</v>
      </c>
    </row>
    <row r="9" ht="20.05" customHeight="1">
      <c r="A9" s="45"/>
      <c r="B9" s="46"/>
      <c r="C9" s="15"/>
      <c r="D9" s="15"/>
      <c r="E9" s="15"/>
      <c r="F9" s="15"/>
      <c r="G9" s="15"/>
      <c r="H9" s="15"/>
      <c r="I9" s="47" cm="1">
        <f t="array" ref="I9">SUM(I3:I8)</f>
        <v>325807.97</v>
      </c>
      <c r="J9" s="15"/>
      <c r="K9" s="15"/>
      <c r="L9" s="15"/>
      <c r="M9" s="15"/>
      <c r="N9" s="15"/>
      <c r="O9" s="15"/>
      <c r="P9" s="15"/>
    </row>
    <row r="10" ht="20.05" customHeight="1">
      <c r="A10" s="45"/>
      <c r="B10" s="46"/>
      <c r="C10" s="15"/>
      <c r="D10" s="15"/>
      <c r="E10" s="15"/>
      <c r="F10" s="15"/>
      <c r="G10" s="15"/>
      <c r="H10" s="15"/>
      <c r="I10" s="15"/>
      <c r="J10" s="15"/>
      <c r="K10" s="47" cm="1">
        <f t="array" ref="K10">SUM(K11:K14)</f>
        <v>1034753.42</v>
      </c>
      <c r="L10" s="15"/>
      <c r="M10" s="15"/>
      <c r="N10" s="15"/>
      <c r="O10" s="15"/>
      <c r="P10" s="15"/>
    </row>
    <row r="11" ht="63.85" customHeight="1">
      <c r="A11" t="s" s="48">
        <v>239</v>
      </c>
      <c r="B11" s="32"/>
      <c r="C11" t="s" s="34">
        <v>240</v>
      </c>
      <c r="D11" s="42">
        <v>865</v>
      </c>
      <c r="E11" s="36">
        <v>261.06</v>
      </c>
      <c r="F11" s="39">
        <v>0</v>
      </c>
      <c r="G11" s="39">
        <v>0</v>
      </c>
      <c r="H11" s="39">
        <v>0</v>
      </c>
      <c r="I11" s="15"/>
      <c r="J11" s="38">
        <v>324085.38</v>
      </c>
      <c r="K11" s="38">
        <v>309951.85</v>
      </c>
      <c r="L11" s="40">
        <v>0.0456</v>
      </c>
      <c r="M11" s="40">
        <v>0.0456</v>
      </c>
      <c r="N11" s="18"/>
      <c r="O11" s="15"/>
      <c r="P11" s="41" cm="1">
        <f t="array" ref="P11">$K11/$K$10</f>
        <v>0.299541749762953</v>
      </c>
    </row>
    <row r="12" ht="95.85" customHeight="1">
      <c r="A12" s="31"/>
      <c r="B12" s="32"/>
      <c r="C12" t="s" s="33">
        <v>241</v>
      </c>
      <c r="D12" s="18"/>
      <c r="E12" t="s" s="34">
        <v>242</v>
      </c>
      <c r="F12" s="35">
        <v>1400</v>
      </c>
      <c r="G12" s="36">
        <v>130.33</v>
      </c>
      <c r="H12" s="39">
        <v>0</v>
      </c>
      <c r="I12" s="39">
        <v>0</v>
      </c>
      <c r="J12" s="39">
        <v>0</v>
      </c>
      <c r="K12" s="38">
        <v>203321.19</v>
      </c>
      <c r="L12" s="38">
        <v>228727.42</v>
      </c>
      <c r="M12" s="38">
        <v>25406.23</v>
      </c>
      <c r="N12" s="43">
        <v>0.125</v>
      </c>
      <c r="O12" s="43">
        <v>0.125</v>
      </c>
      <c r="P12" s="41" cm="1">
        <f t="array" ref="P12">$K12/$K$10</f>
        <v>0.196492406857665</v>
      </c>
    </row>
    <row r="13" ht="79.85" customHeight="1">
      <c r="A13" s="31"/>
      <c r="B13" s="32"/>
      <c r="C13" t="s" s="33">
        <v>243</v>
      </c>
      <c r="D13" s="18"/>
      <c r="E13" t="s" s="34">
        <v>244</v>
      </c>
      <c r="F13" s="35">
        <v>2470</v>
      </c>
      <c r="G13" s="36">
        <v>89.20999999999999</v>
      </c>
      <c r="H13" s="44">
        <v>467.67</v>
      </c>
      <c r="I13" s="39">
        <v>0</v>
      </c>
      <c r="J13" s="39">
        <v>0</v>
      </c>
      <c r="K13" s="38">
        <v>297513.27</v>
      </c>
      <c r="L13" s="37">
        <v>360027.2</v>
      </c>
      <c r="M13" s="38">
        <v>62711.67</v>
      </c>
      <c r="N13" s="40">
        <v>0.2108</v>
      </c>
      <c r="O13" s="43">
        <v>0.209</v>
      </c>
      <c r="P13" s="41" cm="1">
        <f t="array" ref="P13">$K13/$K$10</f>
        <v>0.287520934214453</v>
      </c>
    </row>
    <row r="14" ht="79.85" customHeight="1">
      <c r="A14" s="31"/>
      <c r="B14" s="32"/>
      <c r="C14" t="s" s="33">
        <v>245</v>
      </c>
      <c r="D14" s="18"/>
      <c r="E14" t="s" s="34">
        <v>246</v>
      </c>
      <c r="F14" s="42">
        <v>180</v>
      </c>
      <c r="G14" s="36">
        <v>927.37</v>
      </c>
      <c r="H14" s="39">
        <v>0</v>
      </c>
      <c r="I14" s="39">
        <v>0</v>
      </c>
      <c r="J14" s="39">
        <v>0</v>
      </c>
      <c r="K14" s="38">
        <v>223967.11</v>
      </c>
      <c r="L14" s="38">
        <v>268622.91</v>
      </c>
      <c r="M14" s="37">
        <v>44655.8</v>
      </c>
      <c r="N14" s="40">
        <v>0.1994</v>
      </c>
      <c r="O14" s="40">
        <v>0.1994</v>
      </c>
      <c r="P14" s="41" cm="1">
        <f t="array" ref="P14">$K14/$K$10</f>
        <v>0.216444909164929</v>
      </c>
    </row>
  </sheetData>
  <mergeCells count="1">
    <mergeCell ref="A1:P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